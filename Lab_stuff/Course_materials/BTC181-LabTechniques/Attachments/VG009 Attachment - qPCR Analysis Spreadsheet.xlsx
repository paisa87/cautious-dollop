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8"/>
  <workbookPr autoCompressPictures="0"/>
  <mc:AlternateContent xmlns:mc="http://schemas.openxmlformats.org/markup-compatibility/2006">
    <mc:Choice Requires="x15">
      <x15ac:absPath xmlns:x15ac="http://schemas.microsoft.com/office/spreadsheetml/2010/11/ac" url="https://vgcc-my.sharepoint.com/personal/paisa_vgcc_edu/Documents/Plant Pathogen Project/"/>
    </mc:Choice>
  </mc:AlternateContent>
  <xr:revisionPtr revIDLastSave="190" documentId="8_{353877A6-F43C-42E5-ABE3-5F3C74A6200A}" xr6:coauthVersionLast="47" xr6:coauthVersionMax="47" xr10:uidLastSave="{C474B4B6-E207-4EB9-BF5F-B5B0498D068F}"/>
  <bookViews>
    <workbookView xWindow="28680" yWindow="-120" windowWidth="29040" windowHeight="15720" xr2:uid="{00000000-000D-0000-FFFF-FFFF00000000}"/>
  </bookViews>
  <sheets>
    <sheet name="qPCR Analysis Spreadshee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38" i="2" l="1"/>
  <c r="F36" i="2"/>
  <c r="F35" i="2"/>
  <c r="E12" i="2"/>
  <c r="E13" i="2"/>
  <c r="E14" i="2"/>
  <c r="E15" i="2"/>
  <c r="E16" i="2"/>
  <c r="E17" i="2"/>
  <c r="E18" i="2"/>
  <c r="E19" i="2"/>
  <c r="E20" i="2"/>
  <c r="E21" i="2"/>
  <c r="E22" i="2"/>
  <c r="E23" i="2"/>
  <c r="E24" i="2"/>
  <c r="E25" i="2"/>
  <c r="E26" i="2"/>
  <c r="E27" i="2"/>
  <c r="E28" i="2"/>
  <c r="E29" i="2"/>
  <c r="E30" i="2"/>
  <c r="E31" i="2"/>
  <c r="E32" i="2"/>
  <c r="E33" i="2"/>
  <c r="E34" i="2"/>
  <c r="E11" i="2"/>
  <c r="F11" i="2"/>
  <c r="C35" i="2"/>
  <c r="B35" i="2"/>
  <c r="D39" i="2"/>
  <c r="D35" i="2"/>
  <c r="F34" i="2"/>
  <c r="D34" i="2"/>
  <c r="D14" i="2"/>
  <c r="F14" i="2" s="1"/>
  <c r="D15" i="2"/>
  <c r="F15" i="2" s="1"/>
  <c r="D16" i="2"/>
  <c r="F16" i="2" s="1"/>
  <c r="D17" i="2"/>
  <c r="D18" i="2"/>
  <c r="F18" i="2" s="1"/>
  <c r="D19" i="2"/>
  <c r="F19" i="2" s="1"/>
  <c r="D20" i="2"/>
  <c r="F20" i="2" s="1"/>
  <c r="D21" i="2"/>
  <c r="F21" i="2" s="1"/>
  <c r="D22" i="2"/>
  <c r="F22" i="2" s="1"/>
  <c r="D23" i="2"/>
  <c r="F23" i="2" s="1"/>
  <c r="D24" i="2"/>
  <c r="F24" i="2" s="1"/>
  <c r="D25" i="2"/>
  <c r="F25" i="2" s="1"/>
  <c r="D26" i="2"/>
  <c r="F26" i="2" s="1"/>
  <c r="D27" i="2"/>
  <c r="F27" i="2" s="1"/>
  <c r="D28" i="2"/>
  <c r="F28" i="2" s="1"/>
  <c r="D29" i="2"/>
  <c r="F29" i="2" s="1"/>
  <c r="D30" i="2"/>
  <c r="F30" i="2" s="1"/>
  <c r="D31" i="2"/>
  <c r="F31" i="2" s="1"/>
  <c r="D32" i="2"/>
  <c r="F32" i="2" s="1"/>
  <c r="D33" i="2"/>
  <c r="F33" i="2" s="1"/>
  <c r="D12" i="2"/>
  <c r="D13" i="2"/>
  <c r="D11" i="2"/>
  <c r="F17" i="2" l="1"/>
  <c r="F12" i="2" l="1"/>
  <c r="F13" i="2"/>
  <c r="F37" i="2"/>
  <c r="B39" i="2" s="1"/>
  <c r="B42" i="2" s="1"/>
</calcChain>
</file>

<file path=xl/sharedStrings.xml><?xml version="1.0" encoding="utf-8"?>
<sst xmlns="http://schemas.openxmlformats.org/spreadsheetml/2006/main" count="27" uniqueCount="27">
  <si>
    <t>Instructions for analyzing averages of Ct results from exported sheet from qPCR.</t>
  </si>
  <si>
    <t>1. Refer to exported spreadsheet of qPCR results to record Ct values of negative and positive controls.
Caution should be taken for interpretting results if negative controls have low Ct values and positive controls have high Ct values.</t>
  </si>
  <si>
    <t xml:space="preserve">     Negative control Ct(s): _____________________________________</t>
  </si>
  <si>
    <t xml:space="preserve">      Positive control Ct(s): ______________________________________________</t>
  </si>
  <si>
    <t>2. Record your sample names in rows 11 to 34 of column A and record your types of treatments in cells B10 and C10</t>
  </si>
  <si>
    <t>3. If Ct values meet expectations for controls (negative Ct &gt; 25; positive CT&lt;25), refer to exported spreadsheet of qPCR results to enter Ct values for each treatment and sample in columns B11 to B34 and C11 to C34.</t>
  </si>
  <si>
    <t>4. Clear values from unused rows within rows 11 to 34.</t>
  </si>
  <si>
    <t>5. Refer to the highlighted cell B42 to determine statistical significance of results. Values less than 0.05 are considered statistically significant. Refer to graph to determine higher or lower averages of amplified DNA between treatments (lower Ct means higher amount of DNA amplified)</t>
  </si>
  <si>
    <t>Sample Name</t>
  </si>
  <si>
    <t>Treatment 1: __________</t>
  </si>
  <si>
    <t>Treatment 2: __________</t>
  </si>
  <si>
    <t>difference (x)</t>
  </si>
  <si>
    <t>y=x-mean</t>
  </si>
  <si>
    <t>y^2</t>
  </si>
  <si>
    <t>mean=</t>
  </si>
  <si>
    <t>sum=</t>
  </si>
  <si>
    <t>&lt;-- Sum of Squares</t>
  </si>
  <si>
    <t>&lt;-- Variance = Sum of Squares/(sample size-1)</t>
  </si>
  <si>
    <t>&lt;-- Standard Deviation = square root of Variance</t>
  </si>
  <si>
    <t>t = mean difference/Standard Deviation of the Mean</t>
  </si>
  <si>
    <t>&lt;-- Standard Deviation of the Mean =</t>
  </si>
  <si>
    <t>t=</t>
  </si>
  <si>
    <t>df = n-1:</t>
  </si>
  <si>
    <t>Standard Deviation/(square root of sample size)</t>
  </si>
  <si>
    <t>p is found from a table for two-tailed t-test with n-1 degrees of freedom (df)</t>
  </si>
  <si>
    <t>p=</t>
  </si>
  <si>
    <t>&lt;-- Relies on t value and degrees of freedom calculations above; represents any value between 0 and 1
Represent the probability that the mean differences observed are due to random chance
For our purposes, we'll say that a P-value less than 0.05 is considered statistically significant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</si>
</sst>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3">
    <font>
      <sz val="11"/>
      <color theme="1"/>
      <name val="Calibri"/>
      <family val="2"/>
      <scheme val="minor"/>
    </font>
    <font>
      <b/>
      <sz val="11"/>
      <color theme="1"/>
      <name val="Calibri"/>
      <family val="2"/>
      <scheme val="minor"/>
    </font>
    <font>
      <sz val="11"/>
      <color rgb="FF242424"/>
      <name val="Aptos Narrow"/>
      <charset val="1"/>
    </font>
  </fonts>
  <fills count="6">
    <fill>
      <patternFill patternType="none"/>
    </fill>
    <fill>
      <patternFill patternType="gray125"/>
    </fill>
    <fill>
      <patternFill patternType="solid">
        <fgColor rgb="FFFFFF00"/>
        <bgColor indexed="64"/>
      </patternFill>
    </fill>
    <fill>
      <patternFill patternType="solid">
        <fgColor theme="1" tint="0.499984740745262"/>
        <bgColor indexed="64"/>
      </patternFill>
    </fill>
    <fill>
      <patternFill patternType="solid">
        <fgColor rgb="FF92D050"/>
        <bgColor indexed="64"/>
      </patternFill>
    </fill>
    <fill>
      <patternFill patternType="solid">
        <fgColor rgb="FF00B0F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1" fillId="0" borderId="1" xfId="0" applyFont="1" applyBorder="1" applyAlignment="1">
      <alignment horizontal="center"/>
    </xf>
    <xf numFmtId="0" fontId="1" fillId="2" borderId="0" xfId="0" applyFont="1" applyFill="1" applyAlignment="1">
      <alignment horizontal="right" vertical="top"/>
    </xf>
    <xf numFmtId="164" fontId="0" fillId="2" borderId="0" xfId="0" applyNumberFormat="1" applyFill="1" applyAlignment="1">
      <alignment vertical="top"/>
    </xf>
    <xf numFmtId="0" fontId="0" fillId="2" borderId="0" xfId="0" applyFill="1" applyAlignment="1">
      <alignment horizontal="center" wrapText="1"/>
    </xf>
    <xf numFmtId="0" fontId="0" fillId="0" borderId="0" xfId="0" applyAlignment="1">
      <alignment wrapText="1"/>
    </xf>
    <xf numFmtId="0" fontId="1" fillId="3" borderId="1" xfId="0" applyFont="1" applyFill="1" applyBorder="1" applyAlignment="1">
      <alignment horizontal="right"/>
    </xf>
    <xf numFmtId="164" fontId="0" fillId="3" borderId="1" xfId="0" applyNumberFormat="1" applyFill="1" applyBorder="1"/>
    <xf numFmtId="0" fontId="0" fillId="3" borderId="0" xfId="0" applyFill="1"/>
    <xf numFmtId="49" fontId="0" fillId="3" borderId="0" xfId="0" applyNumberFormat="1" applyFill="1"/>
    <xf numFmtId="0" fontId="1" fillId="3" borderId="1" xfId="0" applyFont="1" applyFill="1" applyBorder="1" applyAlignment="1">
      <alignment horizontal="center"/>
    </xf>
    <xf numFmtId="0" fontId="0" fillId="3" borderId="1" xfId="0" applyFill="1" applyBorder="1"/>
    <xf numFmtId="165" fontId="0" fillId="3" borderId="0" xfId="0" applyNumberFormat="1" applyFill="1"/>
    <xf numFmtId="0" fontId="1" fillId="3" borderId="0" xfId="0" applyFont="1" applyFill="1" applyAlignment="1">
      <alignment horizontal="right"/>
    </xf>
    <xf numFmtId="164" fontId="0" fillId="3" borderId="0" xfId="0" applyNumberFormat="1" applyFill="1"/>
    <xf numFmtId="1" fontId="0" fillId="3" borderId="0" xfId="0" applyNumberFormat="1" applyFill="1"/>
    <xf numFmtId="0" fontId="0" fillId="0" borderId="0" xfId="0" applyAlignment="1">
      <alignment horizontal="center" wrapText="1"/>
    </xf>
    <xf numFmtId="0" fontId="0" fillId="3" borderId="4" xfId="0" applyFill="1" applyBorder="1"/>
    <xf numFmtId="165" fontId="0" fillId="3" borderId="4" xfId="0" applyNumberFormat="1" applyFill="1" applyBorder="1"/>
    <xf numFmtId="0" fontId="1" fillId="4" borderId="5" xfId="0" applyFont="1" applyFill="1" applyBorder="1" applyAlignment="1">
      <alignment horizontal="center"/>
    </xf>
    <xf numFmtId="0" fontId="0" fillId="4" borderId="3" xfId="0" applyFill="1" applyBorder="1"/>
    <xf numFmtId="0" fontId="0" fillId="4" borderId="1" xfId="0" applyFill="1" applyBorder="1"/>
    <xf numFmtId="165" fontId="0" fillId="5" borderId="2" xfId="0" applyNumberFormat="1" applyFill="1" applyBorder="1"/>
    <xf numFmtId="0" fontId="0" fillId="5" borderId="2" xfId="0" applyFill="1" applyBorder="1"/>
    <xf numFmtId="0" fontId="0" fillId="5" borderId="6" xfId="0" applyFill="1" applyBorder="1"/>
    <xf numFmtId="0" fontId="0" fillId="5" borderId="1" xfId="0" applyFill="1" applyBorder="1"/>
    <xf numFmtId="0" fontId="0" fillId="2" borderId="0" xfId="0" applyFill="1" applyAlignment="1">
      <alignment horizontal="center" wrapText="1"/>
    </xf>
    <xf numFmtId="0" fontId="1" fillId="0" borderId="0" xfId="0" applyFont="1" applyAlignment="1">
      <alignment wrapText="1"/>
    </xf>
    <xf numFmtId="0" fontId="0" fillId="0" borderId="0" xfId="0" applyAlignment="1">
      <alignment horizontal="left" wrapText="1"/>
    </xf>
    <xf numFmtId="0" fontId="0" fillId="4" borderId="0" xfId="0" applyFill="1" applyAlignment="1">
      <alignment wrapText="1"/>
    </xf>
    <xf numFmtId="0" fontId="0" fillId="2" borderId="0" xfId="0" applyFill="1" applyAlignment="1">
      <alignment horizontal="left" wrapText="1"/>
    </xf>
    <xf numFmtId="0" fontId="0" fillId="5" borderId="0" xfId="0" applyFill="1" applyAlignment="1">
      <alignment horizontal="left" wrapText="1"/>
    </xf>
    <xf numFmtId="0" fontId="2" fillId="0" borderId="0" xfId="0" applyFont="1" applyAlignment="1">
      <alignment horizontal="lef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symptoms and microbial load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50000"/>
              </a:schemeClr>
            </a:solidFill>
            <a:ln>
              <a:noFill/>
            </a:ln>
            <a:effectLst/>
          </c:spPr>
          <c:invertIfNegative val="0"/>
          <c:cat>
            <c:strRef>
              <c:f>('qPCR Analysis Spreadsheet'!$B$10,'qPCR Analysis Spreadsheet'!$C$10)</c:f>
              <c:strCache>
                <c:ptCount val="2"/>
                <c:pt idx="0">
                  <c:v>Treatment 1: __________</c:v>
                </c:pt>
                <c:pt idx="1">
                  <c:v>Treatment 2: __________</c:v>
                </c:pt>
              </c:strCache>
            </c:strRef>
          </c:cat>
          <c:val>
            <c:numRef>
              <c:f>('qPCR Analysis Spreadsheet'!$B$35,'qPCR Analysis Spreadsheet'!$C$35)</c:f>
              <c:numCache>
                <c:formatCode>#,##0.000</c:formatCode>
                <c:ptCount val="2"/>
                <c:pt idx="0">
                  <c:v>0</c:v>
                </c:pt>
                <c:pt idx="1">
                  <c:v>0</c:v>
                </c:pt>
              </c:numCache>
            </c:numRef>
          </c:val>
          <c:extLst>
            <c:ext xmlns:c16="http://schemas.microsoft.com/office/drawing/2014/chart" uri="{C3380CC4-5D6E-409C-BE32-E72D297353CC}">
              <c16:uniqueId val="{00000000-CAAB-4C73-95B0-412F884784D5}"/>
            </c:ext>
          </c:extLst>
        </c:ser>
        <c:dLbls>
          <c:showLegendKey val="0"/>
          <c:showVal val="0"/>
          <c:showCatName val="0"/>
          <c:showSerName val="0"/>
          <c:showPercent val="0"/>
          <c:showBubbleSize val="0"/>
        </c:dLbls>
        <c:gapWidth val="219"/>
        <c:overlap val="-27"/>
        <c:axId val="969147215"/>
        <c:axId val="969136815"/>
      </c:barChart>
      <c:catAx>
        <c:axId val="969147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136815"/>
        <c:crosses val="autoZero"/>
        <c:auto val="1"/>
        <c:lblAlgn val="ctr"/>
        <c:lblOffset val="100"/>
        <c:noMultiLvlLbl val="0"/>
      </c:catAx>
      <c:valAx>
        <c:axId val="969136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Cycle threshold (Ct)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14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571500</xdr:colOff>
      <xdr:row>9</xdr:row>
      <xdr:rowOff>9525</xdr:rowOff>
    </xdr:from>
    <xdr:to>
      <xdr:col>17</xdr:col>
      <xdr:colOff>257175</xdr:colOff>
      <xdr:row>31</xdr:row>
      <xdr:rowOff>142875</xdr:rowOff>
    </xdr:to>
    <xdr:graphicFrame macro="">
      <xdr:nvGraphicFramePr>
        <xdr:cNvPr id="2" name="Chart 1">
          <a:extLst>
            <a:ext uri="{FF2B5EF4-FFF2-40B4-BE49-F238E27FC236}">
              <a16:creationId xmlns:a16="http://schemas.microsoft.com/office/drawing/2014/main" id="{136AAFDF-27CD-483E-8402-6C211F5A4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B113-D7CB-4C3E-90F7-1343E0B534CD}">
  <dimension ref="A1:K42"/>
  <sheetViews>
    <sheetView tabSelected="1" zoomScale="80" zoomScaleNormal="80" workbookViewId="0">
      <selection activeCell="D12" sqref="D12"/>
    </sheetView>
  </sheetViews>
  <sheetFormatPr defaultColWidth="8.85546875" defaultRowHeight="15"/>
  <cols>
    <col min="1" max="1" width="13.85546875" customWidth="1"/>
    <col min="2" max="3" width="23.5703125" bestFit="1" customWidth="1"/>
    <col min="4" max="6" width="12.7109375" customWidth="1"/>
    <col min="8" max="8" width="36.5703125" bestFit="1" customWidth="1"/>
  </cols>
  <sheetData>
    <row r="1" spans="1:8">
      <c r="A1" s="27" t="s">
        <v>0</v>
      </c>
      <c r="B1" s="27"/>
      <c r="C1" s="27"/>
      <c r="D1" s="27"/>
      <c r="E1" s="27"/>
      <c r="F1" s="27"/>
      <c r="G1" s="27"/>
      <c r="H1" s="27"/>
    </row>
    <row r="2" spans="1:8" ht="29.25" customHeight="1">
      <c r="A2" s="33" t="s">
        <v>1</v>
      </c>
      <c r="B2" s="33"/>
      <c r="C2" s="33"/>
      <c r="D2" s="33"/>
      <c r="E2" s="33"/>
      <c r="F2" s="33"/>
      <c r="G2" s="33"/>
      <c r="H2" s="33"/>
    </row>
    <row r="3" spans="1:8" ht="15" customHeight="1">
      <c r="A3" s="28" t="s">
        <v>2</v>
      </c>
      <c r="B3" s="28"/>
      <c r="C3" s="28"/>
      <c r="D3" s="28"/>
      <c r="E3" s="28"/>
    </row>
    <row r="4" spans="1:8">
      <c r="A4" s="32" t="s">
        <v>3</v>
      </c>
      <c r="B4" s="32"/>
      <c r="C4" s="32"/>
      <c r="D4" s="32"/>
      <c r="E4" s="32"/>
    </row>
    <row r="5" spans="1:8">
      <c r="A5" s="29" t="s">
        <v>4</v>
      </c>
      <c r="B5" s="29"/>
      <c r="C5" s="29"/>
      <c r="D5" s="29"/>
      <c r="E5" s="29"/>
      <c r="F5" s="29"/>
      <c r="G5" s="29"/>
      <c r="H5" s="29"/>
    </row>
    <row r="6" spans="1:8" ht="33.75" customHeight="1">
      <c r="A6" s="31" t="s">
        <v>5</v>
      </c>
      <c r="B6" s="31"/>
      <c r="C6" s="31"/>
      <c r="D6" s="31"/>
      <c r="E6" s="31"/>
      <c r="F6" s="31"/>
      <c r="G6" s="31"/>
      <c r="H6" s="31"/>
    </row>
    <row r="7" spans="1:8">
      <c r="A7" s="28" t="s">
        <v>6</v>
      </c>
      <c r="B7" s="28"/>
      <c r="C7" s="28"/>
      <c r="D7" s="28"/>
      <c r="E7" s="28"/>
      <c r="F7" s="28"/>
      <c r="G7" s="28"/>
      <c r="H7" s="28"/>
    </row>
    <row r="8" spans="1:8" ht="32.25" customHeight="1">
      <c r="A8" s="30" t="s">
        <v>7</v>
      </c>
      <c r="B8" s="30"/>
      <c r="C8" s="30"/>
      <c r="D8" s="30"/>
      <c r="E8" s="30"/>
      <c r="F8" s="30"/>
      <c r="G8" s="30"/>
      <c r="H8" s="30"/>
    </row>
    <row r="10" spans="1:8">
      <c r="A10" s="1" t="s">
        <v>8</v>
      </c>
      <c r="B10" s="19" t="s">
        <v>9</v>
      </c>
      <c r="C10" s="19" t="s">
        <v>10</v>
      </c>
      <c r="D10" s="10" t="s">
        <v>11</v>
      </c>
      <c r="E10" s="10" t="s">
        <v>12</v>
      </c>
      <c r="F10" s="10" t="s">
        <v>13</v>
      </c>
      <c r="H10" s="5"/>
    </row>
    <row r="11" spans="1:8">
      <c r="A11" s="20">
        <v>1</v>
      </c>
      <c r="B11" s="22"/>
      <c r="C11" s="22"/>
      <c r="D11" s="17">
        <f>B12-C11</f>
        <v>0</v>
      </c>
      <c r="E11" s="7">
        <f>D11-D$35</f>
        <v>0</v>
      </c>
      <c r="F11" s="7">
        <f>E11^2</f>
        <v>0</v>
      </c>
    </row>
    <row r="12" spans="1:8">
      <c r="A12" s="20">
        <v>2</v>
      </c>
      <c r="B12" s="22"/>
      <c r="C12" s="23"/>
      <c r="D12" s="18">
        <f>B12-C12</f>
        <v>0</v>
      </c>
      <c r="E12" s="7">
        <f t="shared" ref="E12:E34" si="0">D12-D$35</f>
        <v>0</v>
      </c>
      <c r="F12" s="7">
        <f t="shared" ref="F12:F34" si="1">E12^2</f>
        <v>0</v>
      </c>
    </row>
    <row r="13" spans="1:8">
      <c r="A13" s="20">
        <v>3</v>
      </c>
      <c r="B13" s="23"/>
      <c r="C13" s="23"/>
      <c r="D13" s="17">
        <f t="shared" ref="D13:D34" si="2">B13-C13</f>
        <v>0</v>
      </c>
      <c r="E13" s="7">
        <f t="shared" si="0"/>
        <v>0</v>
      </c>
      <c r="F13" s="7">
        <f t="shared" si="1"/>
        <v>0</v>
      </c>
      <c r="H13" s="16"/>
    </row>
    <row r="14" spans="1:8">
      <c r="A14" s="20">
        <v>4</v>
      </c>
      <c r="B14" s="22"/>
      <c r="C14" s="23"/>
      <c r="D14" s="17">
        <f t="shared" si="2"/>
        <v>0</v>
      </c>
      <c r="E14" s="7">
        <f t="shared" si="0"/>
        <v>0</v>
      </c>
      <c r="F14" s="7">
        <f t="shared" si="1"/>
        <v>0</v>
      </c>
      <c r="H14" s="16"/>
    </row>
    <row r="15" spans="1:8">
      <c r="A15" s="21">
        <v>5</v>
      </c>
      <c r="B15" s="24"/>
      <c r="C15" s="24"/>
      <c r="D15" s="11">
        <f t="shared" si="2"/>
        <v>0</v>
      </c>
      <c r="E15" s="7">
        <f t="shared" si="0"/>
        <v>0</v>
      </c>
      <c r="F15" s="7">
        <f t="shared" si="1"/>
        <v>0</v>
      </c>
      <c r="H15" s="16"/>
    </row>
    <row r="16" spans="1:8">
      <c r="A16" s="21">
        <v>6</v>
      </c>
      <c r="B16" s="25"/>
      <c r="C16" s="25"/>
      <c r="D16" s="11">
        <f t="shared" si="2"/>
        <v>0</v>
      </c>
      <c r="E16" s="7">
        <f t="shared" si="0"/>
        <v>0</v>
      </c>
      <c r="F16" s="7">
        <f t="shared" si="1"/>
        <v>0</v>
      </c>
      <c r="H16" s="16"/>
    </row>
    <row r="17" spans="1:6">
      <c r="A17" s="21">
        <v>7</v>
      </c>
      <c r="B17" s="25"/>
      <c r="C17" s="25"/>
      <c r="D17" s="11">
        <f t="shared" si="2"/>
        <v>0</v>
      </c>
      <c r="E17" s="7">
        <f t="shared" si="0"/>
        <v>0</v>
      </c>
      <c r="F17" s="7">
        <f t="shared" si="1"/>
        <v>0</v>
      </c>
    </row>
    <row r="18" spans="1:6">
      <c r="A18" s="21">
        <v>8</v>
      </c>
      <c r="B18" s="25"/>
      <c r="C18" s="25"/>
      <c r="D18" s="11">
        <f t="shared" si="2"/>
        <v>0</v>
      </c>
      <c r="E18" s="7">
        <f t="shared" si="0"/>
        <v>0</v>
      </c>
      <c r="F18" s="7">
        <f t="shared" si="1"/>
        <v>0</v>
      </c>
    </row>
    <row r="19" spans="1:6">
      <c r="A19" s="21">
        <v>9</v>
      </c>
      <c r="B19" s="25"/>
      <c r="C19" s="25"/>
      <c r="D19" s="11">
        <f t="shared" si="2"/>
        <v>0</v>
      </c>
      <c r="E19" s="7">
        <f t="shared" si="0"/>
        <v>0</v>
      </c>
      <c r="F19" s="7">
        <f t="shared" si="1"/>
        <v>0</v>
      </c>
    </row>
    <row r="20" spans="1:6">
      <c r="A20" s="21">
        <v>10</v>
      </c>
      <c r="B20" s="25"/>
      <c r="C20" s="25"/>
      <c r="D20" s="11">
        <f t="shared" si="2"/>
        <v>0</v>
      </c>
      <c r="E20" s="7">
        <f t="shared" si="0"/>
        <v>0</v>
      </c>
      <c r="F20" s="7">
        <f t="shared" si="1"/>
        <v>0</v>
      </c>
    </row>
    <row r="21" spans="1:6">
      <c r="A21" s="21">
        <v>11</v>
      </c>
      <c r="B21" s="25"/>
      <c r="C21" s="25"/>
      <c r="D21" s="11">
        <f t="shared" si="2"/>
        <v>0</v>
      </c>
      <c r="E21" s="7">
        <f t="shared" si="0"/>
        <v>0</v>
      </c>
      <c r="F21" s="7">
        <f t="shared" si="1"/>
        <v>0</v>
      </c>
    </row>
    <row r="22" spans="1:6">
      <c r="A22" s="21">
        <v>12</v>
      </c>
      <c r="B22" s="25"/>
      <c r="C22" s="25"/>
      <c r="D22" s="11">
        <f t="shared" si="2"/>
        <v>0</v>
      </c>
      <c r="E22" s="7">
        <f t="shared" si="0"/>
        <v>0</v>
      </c>
      <c r="F22" s="7">
        <f t="shared" si="1"/>
        <v>0</v>
      </c>
    </row>
    <row r="23" spans="1:6">
      <c r="A23" s="21">
        <v>13</v>
      </c>
      <c r="B23" s="25"/>
      <c r="C23" s="25"/>
      <c r="D23" s="11">
        <f t="shared" si="2"/>
        <v>0</v>
      </c>
      <c r="E23" s="7">
        <f t="shared" si="0"/>
        <v>0</v>
      </c>
      <c r="F23" s="7">
        <f t="shared" si="1"/>
        <v>0</v>
      </c>
    </row>
    <row r="24" spans="1:6">
      <c r="A24" s="21">
        <v>14</v>
      </c>
      <c r="B24" s="25"/>
      <c r="C24" s="25"/>
      <c r="D24" s="11">
        <f t="shared" si="2"/>
        <v>0</v>
      </c>
      <c r="E24" s="7">
        <f t="shared" si="0"/>
        <v>0</v>
      </c>
      <c r="F24" s="7">
        <f t="shared" si="1"/>
        <v>0</v>
      </c>
    </row>
    <row r="25" spans="1:6">
      <c r="A25" s="21">
        <v>15</v>
      </c>
      <c r="B25" s="25"/>
      <c r="C25" s="25"/>
      <c r="D25" s="11">
        <f t="shared" si="2"/>
        <v>0</v>
      </c>
      <c r="E25" s="7">
        <f t="shared" si="0"/>
        <v>0</v>
      </c>
      <c r="F25" s="7">
        <f t="shared" si="1"/>
        <v>0</v>
      </c>
    </row>
    <row r="26" spans="1:6">
      <c r="A26" s="21">
        <v>16</v>
      </c>
      <c r="B26" s="25"/>
      <c r="C26" s="25"/>
      <c r="D26" s="11">
        <f t="shared" si="2"/>
        <v>0</v>
      </c>
      <c r="E26" s="7">
        <f t="shared" si="0"/>
        <v>0</v>
      </c>
      <c r="F26" s="7">
        <f t="shared" si="1"/>
        <v>0</v>
      </c>
    </row>
    <row r="27" spans="1:6">
      <c r="A27" s="21">
        <v>17</v>
      </c>
      <c r="B27" s="25"/>
      <c r="C27" s="25"/>
      <c r="D27" s="11">
        <f t="shared" si="2"/>
        <v>0</v>
      </c>
      <c r="E27" s="7">
        <f t="shared" si="0"/>
        <v>0</v>
      </c>
      <c r="F27" s="7">
        <f t="shared" si="1"/>
        <v>0</v>
      </c>
    </row>
    <row r="28" spans="1:6">
      <c r="A28" s="21">
        <v>18</v>
      </c>
      <c r="B28" s="25"/>
      <c r="C28" s="25"/>
      <c r="D28" s="11">
        <f t="shared" si="2"/>
        <v>0</v>
      </c>
      <c r="E28" s="7">
        <f t="shared" si="0"/>
        <v>0</v>
      </c>
      <c r="F28" s="7">
        <f t="shared" si="1"/>
        <v>0</v>
      </c>
    </row>
    <row r="29" spans="1:6">
      <c r="A29" s="21">
        <v>19</v>
      </c>
      <c r="B29" s="25"/>
      <c r="C29" s="25"/>
      <c r="D29" s="11">
        <f t="shared" si="2"/>
        <v>0</v>
      </c>
      <c r="E29" s="7">
        <f t="shared" si="0"/>
        <v>0</v>
      </c>
      <c r="F29" s="7">
        <f t="shared" si="1"/>
        <v>0</v>
      </c>
    </row>
    <row r="30" spans="1:6">
      <c r="A30" s="21">
        <v>20</v>
      </c>
      <c r="B30" s="25"/>
      <c r="C30" s="25"/>
      <c r="D30" s="11">
        <f t="shared" si="2"/>
        <v>0</v>
      </c>
      <c r="E30" s="7">
        <f t="shared" si="0"/>
        <v>0</v>
      </c>
      <c r="F30" s="7">
        <f t="shared" si="1"/>
        <v>0</v>
      </c>
    </row>
    <row r="31" spans="1:6">
      <c r="A31" s="21">
        <v>21</v>
      </c>
      <c r="B31" s="25"/>
      <c r="C31" s="25"/>
      <c r="D31" s="11">
        <f t="shared" si="2"/>
        <v>0</v>
      </c>
      <c r="E31" s="7">
        <f t="shared" si="0"/>
        <v>0</v>
      </c>
      <c r="F31" s="7">
        <f t="shared" si="1"/>
        <v>0</v>
      </c>
    </row>
    <row r="32" spans="1:6">
      <c r="A32" s="21">
        <v>22</v>
      </c>
      <c r="B32" s="25"/>
      <c r="C32" s="25"/>
      <c r="D32" s="11">
        <f t="shared" si="2"/>
        <v>0</v>
      </c>
      <c r="E32" s="7">
        <f t="shared" si="0"/>
        <v>0</v>
      </c>
      <c r="F32" s="7">
        <f t="shared" si="1"/>
        <v>0</v>
      </c>
    </row>
    <row r="33" spans="1:11">
      <c r="A33" s="21">
        <v>23</v>
      </c>
      <c r="B33" s="25"/>
      <c r="C33" s="25"/>
      <c r="D33" s="11">
        <f t="shared" si="2"/>
        <v>0</v>
      </c>
      <c r="E33" s="7">
        <f t="shared" si="0"/>
        <v>0</v>
      </c>
      <c r="F33" s="7">
        <f t="shared" si="1"/>
        <v>0</v>
      </c>
    </row>
    <row r="34" spans="1:11">
      <c r="A34" s="21">
        <v>24</v>
      </c>
      <c r="B34" s="25"/>
      <c r="C34" s="25"/>
      <c r="D34" s="11">
        <f t="shared" si="2"/>
        <v>0</v>
      </c>
      <c r="E34" s="7">
        <f t="shared" si="0"/>
        <v>0</v>
      </c>
      <c r="F34" s="7">
        <f t="shared" si="1"/>
        <v>0</v>
      </c>
    </row>
    <row r="35" spans="1:11">
      <c r="A35" s="6" t="s">
        <v>14</v>
      </c>
      <c r="B35" s="12" t="e">
        <f>AVERAGE(B12:B34)</f>
        <v>#DIV/0!</v>
      </c>
      <c r="C35" s="12" t="e">
        <f>AVERAGE(C11:C34)</f>
        <v>#DIV/0!</v>
      </c>
      <c r="D35" s="7">
        <f>AVERAGE(D11:D34)</f>
        <v>0</v>
      </c>
      <c r="E35" s="6" t="s">
        <v>15</v>
      </c>
      <c r="F35" s="7">
        <f>SUM(F11:F34)</f>
        <v>0</v>
      </c>
      <c r="G35" s="8" t="s">
        <v>16</v>
      </c>
      <c r="H35" s="8"/>
    </row>
    <row r="36" spans="1:11">
      <c r="A36" s="8"/>
      <c r="B36" s="8"/>
      <c r="C36" s="8"/>
      <c r="D36" s="8"/>
      <c r="E36" s="8"/>
      <c r="F36" s="7">
        <f>F35/(COUNT(F11:F34)-1)</f>
        <v>0</v>
      </c>
      <c r="G36" s="8" t="s">
        <v>17</v>
      </c>
      <c r="H36" s="8"/>
    </row>
    <row r="37" spans="1:11">
      <c r="A37" s="8"/>
      <c r="B37" s="8"/>
      <c r="C37" s="8"/>
      <c r="D37" s="8"/>
      <c r="E37" s="8"/>
      <c r="F37" s="7">
        <f>SQRT(F36)</f>
        <v>0</v>
      </c>
      <c r="G37" s="8" t="s">
        <v>18</v>
      </c>
      <c r="H37" s="8"/>
    </row>
    <row r="38" spans="1:11">
      <c r="A38" s="8" t="s">
        <v>19</v>
      </c>
      <c r="B38" s="8"/>
      <c r="C38" s="8"/>
      <c r="D38" s="8"/>
      <c r="E38" s="8"/>
      <c r="F38" s="7">
        <f>F37/SQRT(COUNT(F11:F34))</f>
        <v>0</v>
      </c>
      <c r="G38" s="8" t="s">
        <v>20</v>
      </c>
      <c r="H38" s="8"/>
    </row>
    <row r="39" spans="1:11">
      <c r="A39" s="13" t="s">
        <v>21</v>
      </c>
      <c r="B39" s="14" t="e">
        <f>D35/F38</f>
        <v>#DIV/0!</v>
      </c>
      <c r="C39" s="13" t="s">
        <v>22</v>
      </c>
      <c r="D39" s="15">
        <f>COUNT(A11:A34)-1</f>
        <v>23</v>
      </c>
      <c r="E39" s="8"/>
      <c r="F39" s="8"/>
      <c r="G39" s="9" t="s">
        <v>23</v>
      </c>
      <c r="H39" s="8"/>
    </row>
    <row r="40" spans="1:11">
      <c r="A40" s="8" t="s">
        <v>24</v>
      </c>
      <c r="B40" s="8"/>
      <c r="C40" s="8"/>
      <c r="D40" s="8"/>
    </row>
    <row r="42" spans="1:11" ht="45" customHeight="1">
      <c r="A42" s="2" t="s">
        <v>25</v>
      </c>
      <c r="B42" s="3" t="e">
        <f>TDIST(ABS(B39),COUNT(F11:F34)-1,2)</f>
        <v>#DIV/0!</v>
      </c>
      <c r="C42" s="26" t="s">
        <v>26</v>
      </c>
      <c r="D42" s="26"/>
      <c r="E42" s="26"/>
      <c r="F42" s="26"/>
      <c r="G42" s="26"/>
      <c r="H42" s="26"/>
      <c r="I42" s="4"/>
      <c r="J42" s="4"/>
      <c r="K42" s="4"/>
    </row>
  </sheetData>
  <mergeCells count="9">
    <mergeCell ref="A1:H1"/>
    <mergeCell ref="A7:H7"/>
    <mergeCell ref="A5:H5"/>
    <mergeCell ref="C42:H42"/>
    <mergeCell ref="A8:H8"/>
    <mergeCell ref="A6:H6"/>
    <mergeCell ref="A3:E3"/>
    <mergeCell ref="A4:E4"/>
    <mergeCell ref="A2:H2"/>
  </mergeCells>
  <printOptions horizontalCentered="1" gridLines="1"/>
  <pageMargins left="0.7" right="0.7" top="1.5" bottom="0.75" header="0.8" footer="0.3"/>
  <headerFooter>
    <oddHeader>&amp;CComputation Worksheet for Paired t-test (two-tailed)</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D07523E0A4D54B9C70F736AF0CEFDA" ma:contentTypeVersion="14" ma:contentTypeDescription="Create a new document." ma:contentTypeScope="" ma:versionID="2668ae1b86c8682df017acc5799dcc0a">
  <xsd:schema xmlns:xsd="http://www.w3.org/2001/XMLSchema" xmlns:xs="http://www.w3.org/2001/XMLSchema" xmlns:p="http://schemas.microsoft.com/office/2006/metadata/properties" xmlns:ns3="1132d0f6-a000-439c-a7e3-4353f978b46d" xmlns:ns4="eced2948-568e-4e80-a085-8bad5b951d88" targetNamespace="http://schemas.microsoft.com/office/2006/metadata/properties" ma:root="true" ma:fieldsID="42fa6676b9b19d5efaa2b0c0b5cc0e6c" ns3:_="" ns4:_="">
    <xsd:import namespace="1132d0f6-a000-439c-a7e3-4353f978b46d"/>
    <xsd:import namespace="eced2948-568e-4e80-a085-8bad5b951d88"/>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32d0f6-a000-439c-a7e3-4353f978b4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ed2948-568e-4e80-a085-8bad5b951d8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132d0f6-a000-439c-a7e3-4353f978b46d" xsi:nil="true"/>
  </documentManagement>
</p:properties>
</file>

<file path=customXml/itemProps1.xml><?xml version="1.0" encoding="utf-8"?>
<ds:datastoreItem xmlns:ds="http://schemas.openxmlformats.org/officeDocument/2006/customXml" ds:itemID="{E89F7EFA-9368-4B38-A1C5-5594178ABE6D}"/>
</file>

<file path=customXml/itemProps2.xml><?xml version="1.0" encoding="utf-8"?>
<ds:datastoreItem xmlns:ds="http://schemas.openxmlformats.org/officeDocument/2006/customXml" ds:itemID="{0A109F24-04BD-49B6-A014-98B7B03860BA}"/>
</file>

<file path=customXml/itemProps3.xml><?xml version="1.0" encoding="utf-8"?>
<ds:datastoreItem xmlns:ds="http://schemas.openxmlformats.org/officeDocument/2006/customXml" ds:itemID="{72D368B4-7C40-4A75-9200-28ABFF24DFC5}"/>
</file>

<file path=docProps/app.xml><?xml version="1.0" encoding="utf-8"?>
<Properties xmlns="http://schemas.openxmlformats.org/officeDocument/2006/extended-properties" xmlns:vt="http://schemas.openxmlformats.org/officeDocument/2006/docPropsVTypes">
  <Application>Microsoft Excel Online</Application>
  <Manager/>
  <Company>NC State Department of Botany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Wentworth</dc:creator>
  <cp:keywords/>
  <dc:description/>
  <cp:lastModifiedBy>Andrew Pais</cp:lastModifiedBy>
  <cp:revision/>
  <dcterms:created xsi:type="dcterms:W3CDTF">2010-07-07T20:50:03Z</dcterms:created>
  <dcterms:modified xsi:type="dcterms:W3CDTF">2025-08-01T18:11:13Z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0x01010071D07523E0A4D54B9C70F736AF0CEFDA</vt:lpwstr>
  </property>
</Properties>
</file>